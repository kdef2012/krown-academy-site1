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ar 1 — 15 Students" sheetId="1" state="visible" r:id="rId3"/>
    <sheet name="Scale-Up Pat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<sst xmlns="http://schemas.openxmlformats.org/spreadsheetml/2006/main" count="150" uniqueCount="140">
  <si>
    <t xml:space="preserve">KROWN ACADEMY — 15-STUDENT LEAN LAUNCH</t>
  </si>
  <si>
    <t xml:space="preserve">KVegas Elite Inc (501(c)(3)) | Managed by KD THRILL LLC | Kendall Nelson, Founder</t>
  </si>
  <si>
    <t xml:space="preserve">15 Students | Church/Small Facility | Kendall = Only Full-Time Staff | Year 1 Profitability Target</t>
  </si>
  <si>
    <t xml:space="preserve">REVENUE</t>
  </si>
  <si>
    <t xml:space="preserve">Item</t>
  </si>
  <si>
    <t xml:space="preserve">Monthly</t>
  </si>
  <si>
    <t xml:space="preserve">Annual</t>
  </si>
  <si>
    <t xml:space="preserve">Notes</t>
  </si>
  <si>
    <t xml:space="preserve">Students enrolled</t>
  </si>
  <si>
    <t xml:space="preserve">All Tier 1-2 low-income</t>
  </si>
  <si>
    <t xml:space="preserve">OS award per student</t>
  </si>
  <si>
    <t xml:space="preserve">2026-27 Tier 1-2 rate</t>
  </si>
  <si>
    <t xml:space="preserve">TOTAL OS REVENUE</t>
  </si>
  <si>
    <t xml:space="preserve">Paid directly to Krown Academy</t>
  </si>
  <si>
    <t xml:space="preserve">Athletic fundraising (per student)</t>
  </si>
  <si>
    <t xml:space="preserve">Sponsors, community support</t>
  </si>
  <si>
    <t xml:space="preserve">Total fundraising</t>
  </si>
  <si>
    <t xml:space="preserve">TOTAL REVENUE</t>
  </si>
  <si>
    <t xml:space="preserve">EXPENSES — LEAN YEAR 1</t>
  </si>
  <si>
    <t xml:space="preserve">Expense</t>
  </si>
  <si>
    <t xml:space="preserve">PERSONNEL</t>
  </si>
  <si>
    <t xml:space="preserve">Kendall Nelson — Director/Teacher/Coach/Mentor (via KD THRILL LLC)</t>
  </si>
  <si>
    <t xml:space="preserve">Your salary — you do everything Year 1</t>
  </si>
  <si>
    <t xml:space="preserve">Payroll taxes &amp; benefits (15%)</t>
  </si>
  <si>
    <t xml:space="preserve">Self-employment tax, basic insurance</t>
  </si>
  <si>
    <t xml:space="preserve">Part-time assistant / volunteer stipend</t>
  </si>
  <si>
    <t xml:space="preserve">$0 Year 1 — use volunteers, parents</t>
  </si>
  <si>
    <t xml:space="preserve">Subtotal personnel</t>
  </si>
  <si>
    <t xml:space="preserve">FACILITY</t>
  </si>
  <si>
    <t xml:space="preserve">Rent — church classroom or small commercial</t>
  </si>
  <si>
    <t xml:space="preserve">Target: $1,000-$1,500/mo</t>
  </si>
  <si>
    <t xml:space="preserve">Utilities (may be included in church deal)</t>
  </si>
  <si>
    <t xml:space="preserve">Electric, water, internet</t>
  </si>
  <si>
    <t xml:space="preserve">Cleaning / maintenance</t>
  </si>
  <si>
    <t xml:space="preserve">Subtotal facility</t>
  </si>
  <si>
    <t xml:space="preserve">CURRICULUM &amp; TECHNOLOGY</t>
  </si>
  <si>
    <t xml:space="preserve">Acellus license (15 students × $150/yr)</t>
  </si>
  <si>
    <t xml:space="preserve">Digital curriculum — core delivery</t>
  </si>
  <si>
    <t xml:space="preserve">Chromebooks (17 refurb × $200)</t>
  </si>
  <si>
    <t xml:space="preserve">One-time from first OS disbursement</t>
  </si>
  <si>
    <t xml:space="preserve">Ticket Owl'd The Door</t>
  </si>
  <si>
    <t xml:space="preserve">Your platform — no cost</t>
  </si>
  <si>
    <t xml:space="preserve">Standardized testing (15 × $15)</t>
  </si>
  <si>
    <t xml:space="preserve">Annual requirement</t>
  </si>
  <si>
    <t xml:space="preserve">Internet / network</t>
  </si>
  <si>
    <t xml:space="preserve">Separate line if church doesn't cover</t>
  </si>
  <si>
    <t xml:space="preserve">Subtotal curriculum &amp; tech</t>
  </si>
  <si>
    <t xml:space="preserve">WRESTLING &amp; ATHLETICS</t>
  </si>
  <si>
    <t xml:space="preserve">Used wrestling mats</t>
  </si>
  <si>
    <t xml:space="preserve">800</t>
  </si>
  <si>
    <t xml:space="preserve">FB Marketplace, wrestling surplus</t>
  </si>
  <si>
    <t xml:space="preserve">Headgear, knee pads, basic gear</t>
  </si>
  <si>
    <t xml:space="preserve">Singlets / team shirts</t>
  </si>
  <si>
    <t xml:space="preserve">Tournament fees &amp; travel (local/regional)</t>
  </si>
  <si>
    <t xml:space="preserve">Stay regional Year 1</t>
  </si>
  <si>
    <t xml:space="preserve">Athletic insurance (supplemental)</t>
  </si>
  <si>
    <t xml:space="preserve">Wrestling coverage</t>
  </si>
  <si>
    <t xml:space="preserve">Subtotal athletics</t>
  </si>
  <si>
    <t xml:space="preserve">OPERATIONS</t>
  </si>
  <si>
    <t xml:space="preserve">General liability insurance</t>
  </si>
  <si>
    <t xml:space="preserve">$1M/$2M coverage</t>
  </si>
  <si>
    <t xml:space="preserve">Background checks (yourself + 1 volunteer)</t>
  </si>
  <si>
    <t xml:space="preserve">Legal / accounting</t>
  </si>
  <si>
    <t xml:space="preserve">Basic bookkeeping + annual filing</t>
  </si>
  <si>
    <t xml:space="preserve">Marketing (flyers, social media, website)</t>
  </si>
  <si>
    <t xml:space="preserve">Lean — word of mouth is primary</t>
  </si>
  <si>
    <t xml:space="preserve">Office supplies &amp; classroom materials</t>
  </si>
  <si>
    <t xml:space="preserve">Paper, markers, printer, basics</t>
  </si>
  <si>
    <t xml:space="preserve">First aid / AED access / safety</t>
  </si>
  <si>
    <t xml:space="preserve">One-time setup</t>
  </si>
  <si>
    <t xml:space="preserve">Mentoring program materials</t>
  </si>
  <si>
    <t xml:space="preserve">Journals, books, supplies</t>
  </si>
  <si>
    <t xml:space="preserve">Subtotal operations</t>
  </si>
  <si>
    <t xml:space="preserve">TOTAL EXPENSES</t>
  </si>
  <si>
    <t xml:space="preserve">NET INCOME (YEAR 1)</t>
  </si>
  <si>
    <t xml:space="preserve">This is your cushion</t>
  </si>
  <si>
    <t xml:space="preserve">BREAKEVEN STUDENTS</t>
  </si>
  <si>
    <t xml:space="preserve">Students needed to cover all expenses</t>
  </si>
  <si>
    <t xml:space="preserve">KROWN ACADEMY — 5-YEAR SCALE-UP PATH</t>
  </si>
  <si>
    <t xml:space="preserve">Start with 15, grow to 75+ for NCISAA eligibility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</si>
  <si>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</si>
  <si>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</si>
  <si>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</si>
  <si>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</si>
  <si>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</si>
  <si>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Students</t>
  </si>
  <si>
    <t xml:space="preserve">75 in 7+ = NCISAA eligible</t>
  </si>
  <si>
    <t xml:space="preserve">OS Revenue (Tier 1-2 × $7,468)</t>
  </si>
  <si>
    <t xml:space="preserve">~3% rate increase Y3+</t>
  </si>
  <si>
    <t xml:space="preserve">Fundraising</t>
  </si>
  <si>
    <t xml:space="preserve">Grows with enrollment</t>
  </si>
  <si>
    <t xml:space="preserve">ESA+ Enhanced Services</t>
  </si>
  <si>
    <t xml:space="preserve">Pure upside</t>
  </si>
  <si>
    <t xml:space="preserve">Total Revenue</t>
  </si>
  <si>
    <t xml:space="preserve">EXPENSES</t>
  </si>
  <si>
    <t xml:space="preserve">Kendall salary (via KD THRILL)</t>
  </si>
  <si>
    <t xml:space="preserve">Grow as school grows</t>
  </si>
  <si>
    <t xml:space="preserve">Teacher #1</t>
  </si>
  <si>
    <t xml:space="preserve">Hire at 20+ students</t>
  </si>
  <si>
    <t xml:space="preserve">Teacher #2</t>
  </si>
  <si>
    <t xml:space="preserve">Hire at 35+ students</t>
  </si>
  <si>
    <t xml:space="preserve">Sports trainer</t>
  </si>
  <si>
    <t xml:space="preserve">Hire at 50+ students</t>
  </si>
  <si>
    <t xml:space="preserve">Coaching stipends</t>
  </si>
  <si>
    <t xml:space="preserve">Payroll taxes (15%)</t>
  </si>
  <si>
    <t xml:space="preserve">Facility rent</t>
  </si>
  <si>
    <t xml:space="preserve">Church→$3K→$8.5K building</t>
  </si>
  <si>
    <t xml:space="preserve">Utilities + maintenance</t>
  </si>
  <si>
    <t xml:space="preserve">Curriculum, tech, testing</t>
  </si>
  <si>
    <t xml:space="preserve">Scales with students</t>
  </si>
  <si>
    <t xml:space="preserve">Wrestling &amp; athletics</t>
  </si>
  <si>
    <t xml:space="preserve">Bigger travel budget Y3+</t>
  </si>
  <si>
    <t xml:space="preserve">Operations (insurance, legal, etc)</t>
  </si>
  <si>
    <t xml:space="preserve">Subtotal other</t>
  </si>
  <si>
    <t xml:space="preserve">NET INCOME</t>
  </si>
  <si>
    <t xml:space="preserve">Cumulative net</t>
  </si>
  <si>
    <t xml:space="preserve">MILESTONES</t>
  </si>
  <si>
    <t xml:space="preserve">Staff count</t>
  </si>
  <si>
    <t xml:space="preserve">1 (you)</t>
  </si>
  <si>
    <t xml:space="preserve">2</t>
  </si>
  <si>
    <t xml:space="preserve">4</t>
  </si>
  <si>
    <t xml:space="preserve">5</t>
  </si>
  <si>
    <t xml:space="preserve">6</t>
  </si>
  <si>
    <t xml:space="preserve">Building</t>
  </si>
  <si>
    <t xml:space="preserve">Church/small</t>
  </si>
  <si>
    <t xml:space="preserve">Upgrade</t>
  </si>
  <si>
    <t xml:space="preserve">$8.5K building</t>
  </si>
  <si>
    <t xml:space="preserve">Same</t>
  </si>
  <si>
    <t xml:space="preserve">Same or own</t>
  </si>
  <si>
    <t xml:space="preserve">Athletics</t>
  </si>
  <si>
    <t xml:space="preserve">USA Wrestling</t>
  </si>
  <si>
    <t xml:space="preserve">USA + local</t>
  </si>
  <si>
    <t xml:space="preserve">USA + Prep Nats</t>
  </si>
  <si>
    <t xml:space="preserve">Full program</t>
  </si>
  <si>
    <t xml:space="preserve">NCISAA apply</t>
  </si>
  <si>
    <t xml:space="preserve">NCISAA eligible?</t>
  </si>
  <si>
    <t xml:space="preserve">No</t>
  </si>
  <si>
    <t xml:space="preserve">Maybe (55)</t>
  </si>
  <si>
    <t xml:space="preserve">YES (75)</t>
  </si>
  <si>
    <t xml:space="preserve">Need 75 in grades 7+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</si>
</sst>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C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4"/>
      <color rgb="FF1D9E7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E0E0"/>
        <bgColor rgb="FFFFD5D5"/>
      </patternFill>
    </fill>
    <fill>
      <patternFill patternType="solid">
        <fgColor rgb="FF1A1A1A"/>
        <bgColor rgb="FF333300"/>
      </patternFill>
    </fill>
    <fill>
      <patternFill patternType="solid">
        <fgColor rgb="FFE0FFE8"/>
        <bgColor rgb="FFE6F1FB"/>
      </patternFill>
    </fill>
    <fill>
      <patternFill patternType="solid">
        <fgColor rgb="FFFFF2CC"/>
        <bgColor rgb="FFFFE0E0"/>
      </patternFill>
    </fill>
    <fill>
      <patternFill patternType="solid">
        <fgColor rgb="FFFFD5D5"/>
        <bgColor rgb="FFFFE0E0"/>
      </patternFill>
    </fill>
    <fill>
      <patternFill patternType="solid">
        <fgColor rgb="FFE6F1FB"/>
        <bgColor rgb="FFE0F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0F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CCFFCC"/>
      <rgbColor rgb="FFFFE0E0"/>
      <rgbColor rgb="FF99CCFF"/>
      <rgbColor rgb="FFFF99CC"/>
      <rgbColor rgb="FFCC99FF"/>
      <rgbColor rgb="FFFFD5D5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1D9E75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4"/>
    <col collapsed="false" customWidth="true" hidden="false" outlineLevel="0" max="4" min="4" style="1" width="40"/>
    <col collapsed="false" customWidth="true" hidden="false" outlineLevel="0" max="5" min="5" style="1" width="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true" outlineLevel="0" collapsed="false">
      <c r="A7" s="6" t="s">
        <v>8</v>
      </c>
      <c r="C7" s="7" t="n">
        <v>15</v>
      </c>
      <c r="D7" s="8" t="s">
        <v>9</v>
      </c>
    </row>
    <row r="8" customFormat="false" ht="15" hidden="false" customHeight="true" outlineLevel="0" collapsed="false">
      <c r="A8" s="6" t="s">
        <v>10</v>
      </c>
      <c r="C8" s="7" t="n">
        <v>7468</v>
      </c>
      <c r="D8" s="8" t="s">
        <v>11</v>
      </c>
    </row>
    <row r="9" customFormat="false" ht="15" hidden="false" customHeight="true" outlineLevel="0" collapsed="false">
      <c r="A9" s="9" t="s">
        <v>12</v>
      </c>
      <c r="B9" s="10" t="n">
        <f aca="false">C8/12</f>
        <v>622.333333333333</v>
      </c>
      <c r="C9" s="10" t="n">
        <f aca="false">C7*C8</f>
        <v>112020</v>
      </c>
      <c r="D9" s="8" t="s">
        <v>13</v>
      </c>
    </row>
    <row r="10" customFormat="false" ht="15" hidden="false" customHeight="true" outlineLevel="0" collapsed="false">
      <c r="A10" s="6"/>
      <c r="B10" s="7"/>
      <c r="C10" s="6"/>
      <c r="D10" s="8"/>
    </row>
    <row r="11" customFormat="false" ht="15" hidden="false" customHeight="true" outlineLevel="0" collapsed="false">
      <c r="A11" s="6" t="s">
        <v>14</v>
      </c>
      <c r="C11" s="7" t="n">
        <v>300</v>
      </c>
      <c r="D11" s="8" t="s">
        <v>15</v>
      </c>
    </row>
    <row r="12" customFormat="false" ht="15" hidden="false" customHeight="true" outlineLevel="0" collapsed="false">
      <c r="A12" s="6" t="s">
        <v>16</v>
      </c>
      <c r="B12" s="11" t="n">
        <f aca="false">C12/12</f>
        <v>375</v>
      </c>
      <c r="C12" s="11" t="n">
        <f aca="false">C7*C11</f>
        <v>4500</v>
      </c>
      <c r="D12" s="8"/>
    </row>
    <row r="13" customFormat="false" ht="15" hidden="false" customHeight="true" outlineLevel="0" collapsed="false">
      <c r="A13" s="6"/>
      <c r="B13" s="7"/>
      <c r="C13" s="6"/>
      <c r="D13" s="8"/>
    </row>
    <row r="14" customFormat="false" ht="15" hidden="false" customHeight="true" outlineLevel="0" collapsed="false">
      <c r="A14" s="9" t="s">
        <v>17</v>
      </c>
      <c r="B14" s="12" t="n">
        <f aca="false">B9+B13</f>
        <v>622.333333333333</v>
      </c>
      <c r="C14" s="12" t="n">
        <f aca="false">C9+C13</f>
        <v>112020</v>
      </c>
      <c r="D14" s="8"/>
    </row>
    <row r="16" customFormat="false" ht="15" hidden="false" customHeight="true" outlineLevel="0" collapsed="false">
      <c r="A16" s="4" t="s">
        <v>18</v>
      </c>
      <c r="B16" s="4"/>
      <c r="C16" s="4"/>
      <c r="D16" s="4"/>
      <c r="E16" s="4"/>
    </row>
    <row r="17" customFormat="false" ht="15" hidden="false" customHeight="true" outlineLevel="0" collapsed="false">
      <c r="A17" s="5" t="s">
        <v>19</v>
      </c>
      <c r="B17" s="5" t="s">
        <v>5</v>
      </c>
      <c r="C17" s="5" t="s">
        <v>6</v>
      </c>
      <c r="D17" s="5" t="s">
        <v>7</v>
      </c>
    </row>
    <row r="18" customFormat="false" ht="15" hidden="false" customHeight="true" outlineLevel="0" collapsed="false">
      <c r="A18" s="13" t="s">
        <v>20</v>
      </c>
    </row>
    <row r="19" customFormat="false" ht="15" hidden="false" customHeight="true" outlineLevel="0" collapsed="false">
      <c r="A19" s="6" t="s">
        <v>21</v>
      </c>
      <c r="B19" s="7" t="n">
        <v>3333</v>
      </c>
      <c r="C19" s="7" t="n">
        <v>40000</v>
      </c>
      <c r="D19" s="8" t="s">
        <v>22</v>
      </c>
    </row>
    <row r="20" customFormat="false" ht="15" hidden="false" customHeight="true" outlineLevel="0" collapsed="false">
      <c r="A20" s="6" t="s">
        <v>23</v>
      </c>
      <c r="B20" s="7" t="n">
        <v>500</v>
      </c>
      <c r="C20" s="7" t="n">
        <v>6000</v>
      </c>
      <c r="D20" s="8" t="s">
        <v>24</v>
      </c>
    </row>
    <row r="21" customFormat="false" ht="15" hidden="false" customHeight="true" outlineLevel="0" collapsed="false">
      <c r="A21" s="6" t="s">
        <v>25</v>
      </c>
      <c r="B21" s="7" t="n">
        <v>0</v>
      </c>
      <c r="C21" s="7" t="n">
        <v>0</v>
      </c>
      <c r="D21" s="8" t="s">
        <v>26</v>
      </c>
    </row>
    <row r="22" customFormat="false" ht="15" hidden="false" customHeight="true" outlineLevel="0" collapsed="false">
      <c r="A22" s="9" t="s">
        <v>27</v>
      </c>
      <c r="B22" s="14" t="n">
        <f aca="false">SUM(B19:B21)</f>
        <v>3833</v>
      </c>
      <c r="C22" s="14" t="n">
        <f aca="false">SUM(C19:C21)</f>
        <v>46000</v>
      </c>
      <c r="D22" s="8"/>
    </row>
    <row r="23" customFormat="false" ht="15" hidden="false" customHeight="true" outlineLevel="0" collapsed="false">
      <c r="A23" s="6"/>
      <c r="D23" s="8"/>
    </row>
    <row r="24" customFormat="false" ht="15" hidden="false" customHeight="true" outlineLevel="0" collapsed="false">
      <c r="A24" s="13" t="s">
        <v>28</v>
      </c>
    </row>
    <row r="25" customFormat="false" ht="15" hidden="false" customHeight="true" outlineLevel="0" collapsed="false">
      <c r="A25" s="6" t="s">
        <v>29</v>
      </c>
      <c r="B25" s="7" t="n">
        <v>1500</v>
      </c>
      <c r="C25" s="7" t="n">
        <v>18000</v>
      </c>
      <c r="D25" s="8" t="s">
        <v>30</v>
      </c>
    </row>
    <row r="26" customFormat="false" ht="15" hidden="false" customHeight="true" outlineLevel="0" collapsed="false">
      <c r="A26" s="6" t="s">
        <v>31</v>
      </c>
      <c r="B26" s="7" t="n">
        <v>150</v>
      </c>
      <c r="C26" s="7" t="n">
        <v>1800</v>
      </c>
      <c r="D26" s="8" t="s">
        <v>32</v>
      </c>
    </row>
    <row r="27" customFormat="false" ht="15" hidden="false" customHeight="true" outlineLevel="0" collapsed="false">
      <c r="A27" s="6" t="s">
        <v>33</v>
      </c>
      <c r="B27" s="7" t="n">
        <v>75</v>
      </c>
      <c r="C27" s="7" t="n">
        <v>900</v>
      </c>
      <c r="D27" s="8"/>
    </row>
    <row r="28" customFormat="false" ht="15" hidden="false" customHeight="true" outlineLevel="0" collapsed="false">
      <c r="A28" s="9" t="s">
        <v>34</v>
      </c>
      <c r="B28" s="14" t="n">
        <f aca="false">SUM(B25:B27)</f>
        <v>1725</v>
      </c>
      <c r="C28" s="14" t="n">
        <f aca="false">SUM(C25:C27)</f>
        <v>20700</v>
      </c>
      <c r="D28" s="8"/>
    </row>
    <row r="29" customFormat="false" ht="15" hidden="false" customHeight="true" outlineLevel="0" collapsed="false">
      <c r="A29" s="6"/>
      <c r="D29" s="8"/>
    </row>
    <row r="30" customFormat="false" ht="15" hidden="false" customHeight="true" outlineLevel="0" collapsed="false">
      <c r="A30" s="13" t="s">
        <v>35</v>
      </c>
    </row>
    <row r="31" customFormat="false" ht="15" hidden="false" customHeight="true" outlineLevel="0" collapsed="false">
      <c r="A31" s="6" t="s">
        <v>36</v>
      </c>
      <c r="B31" s="11" t="n">
        <f aca="false">C31/12</f>
        <v>187.5</v>
      </c>
      <c r="C31" s="7" t="n">
        <v>2250</v>
      </c>
      <c r="D31" s="8" t="s">
        <v>37</v>
      </c>
    </row>
    <row r="32" customFormat="false" ht="15" hidden="false" customHeight="true" outlineLevel="0" collapsed="false">
      <c r="A32" s="6" t="s">
        <v>38</v>
      </c>
      <c r="C32" s="11" t="n">
        <f aca="false">17*200</f>
        <v>3400</v>
      </c>
      <c r="D32" s="8" t="s">
        <v>39</v>
      </c>
    </row>
    <row r="33" customFormat="false" ht="15" hidden="false" customHeight="true" outlineLevel="0" collapsed="false">
      <c r="A33" s="6" t="s">
        <v>40</v>
      </c>
      <c r="B33" s="7" t="n">
        <v>0</v>
      </c>
      <c r="C33" s="7" t="n">
        <v>0</v>
      </c>
      <c r="D33" s="8" t="s">
        <v>41</v>
      </c>
    </row>
    <row r="34" customFormat="false" ht="15" hidden="false" customHeight="true" outlineLevel="0" collapsed="false">
      <c r="A34" s="6" t="s">
        <v>42</v>
      </c>
      <c r="C34" s="11" t="n">
        <f aca="false">15*15</f>
        <v>225</v>
      </c>
      <c r="D34" s="8" t="s">
        <v>43</v>
      </c>
    </row>
    <row r="35" customFormat="false" ht="15" hidden="false" customHeight="true" outlineLevel="0" collapsed="false">
      <c r="A35" s="6" t="s">
        <v>44</v>
      </c>
      <c r="B35" s="7" t="n">
        <v>100</v>
      </c>
      <c r="C35" s="7" t="n">
        <v>1200</v>
      </c>
      <c r="D35" s="8" t="s">
        <v>45</v>
      </c>
    </row>
    <row r="36" customFormat="false" ht="15" hidden="false" customHeight="true" outlineLevel="0" collapsed="false">
      <c r="A36" s="9" t="s">
        <v>46</v>
      </c>
      <c r="B36" s="14" t="n">
        <f aca="false">B31+B35</f>
        <v>287.5</v>
      </c>
      <c r="C36" s="14" t="n">
        <f aca="false">SUM(C31:C35)</f>
        <v>7075</v>
      </c>
      <c r="D36" s="8"/>
    </row>
    <row r="37" customFormat="false" ht="15" hidden="false" customHeight="true" outlineLevel="0" collapsed="false">
      <c r="A37" s="6"/>
      <c r="D37" s="8"/>
    </row>
    <row r="38" customFormat="false" ht="15" hidden="false" customHeight="true" outlineLevel="0" collapsed="false">
      <c r="A38" s="13" t="s">
        <v>47</v>
      </c>
    </row>
    <row r="39" customFormat="false" ht="15" hidden="false" customHeight="true" outlineLevel="0" collapsed="false">
      <c r="A39" s="6" t="s">
        <v>48</v>
      </c>
      <c r="C39" s="11" t="s">
        <v>49</v>
      </c>
      <c r="D39" s="8" t="s">
        <v>50</v>
      </c>
    </row>
    <row r="40" customFormat="false" ht="15" hidden="false" customHeight="true" outlineLevel="0" collapsed="false">
      <c r="A40" s="6" t="s">
        <v>51</v>
      </c>
      <c r="C40" s="7" t="n">
        <v>700</v>
      </c>
      <c r="D40" s="8"/>
    </row>
    <row r="41" customFormat="false" ht="15" hidden="false" customHeight="true" outlineLevel="0" collapsed="false">
      <c r="A41" s="6" t="s">
        <v>52</v>
      </c>
      <c r="C41" s="7" t="n">
        <v>600</v>
      </c>
      <c r="D41" s="8"/>
    </row>
    <row r="42" customFormat="false" ht="15" hidden="false" customHeight="true" outlineLevel="0" collapsed="false">
      <c r="A42" s="6" t="s">
        <v>53</v>
      </c>
      <c r="B42" s="11" t="n">
        <f aca="false">C42/12</f>
        <v>125</v>
      </c>
      <c r="C42" s="7" t="n">
        <v>1500</v>
      </c>
      <c r="D42" s="8" t="s">
        <v>54</v>
      </c>
    </row>
    <row r="43" customFormat="false" ht="15" hidden="false" customHeight="true" outlineLevel="0" collapsed="false">
      <c r="A43" s="6" t="s">
        <v>55</v>
      </c>
      <c r="B43" s="11" t="n">
        <f aca="false">C43/12</f>
        <v>41.6666666666667</v>
      </c>
      <c r="C43" s="7" t="n">
        <v>500</v>
      </c>
      <c r="D43" s="8" t="s">
        <v>56</v>
      </c>
    </row>
    <row r="44" customFormat="false" ht="15" hidden="false" customHeight="true" outlineLevel="0" collapsed="false">
      <c r="A44" s="9" t="s">
        <v>57</v>
      </c>
      <c r="B44" s="14" t="n">
        <f aca="false">B42+B43</f>
        <v>166.666666666667</v>
      </c>
      <c r="C44" s="14" t="n">
        <f aca="false">SUM(C39:C43)</f>
        <v>3300</v>
      </c>
      <c r="D44" s="8"/>
    </row>
    <row r="45" customFormat="false" ht="15" hidden="false" customHeight="true" outlineLevel="0" collapsed="false">
      <c r="A45" s="6"/>
      <c r="D45" s="8"/>
    </row>
    <row r="46" customFormat="false" ht="15" hidden="false" customHeight="true" outlineLevel="0" collapsed="false">
      <c r="A46" s="13" t="s">
        <v>58</v>
      </c>
    </row>
    <row r="47" customFormat="false" ht="15" hidden="false" customHeight="true" outlineLevel="0" collapsed="false">
      <c r="A47" s="6" t="s">
        <v>59</v>
      </c>
      <c r="B47" s="11" t="n">
        <f aca="false">C47/12</f>
        <v>141.666666666667</v>
      </c>
      <c r="C47" s="7" t="n">
        <v>1700</v>
      </c>
      <c r="D47" s="8" t="s">
        <v>60</v>
      </c>
    </row>
    <row r="48" customFormat="false" ht="15" hidden="false" customHeight="true" outlineLevel="0" collapsed="false">
      <c r="A48" s="6" t="s">
        <v>61</v>
      </c>
      <c r="C48" s="7" t="n">
        <v>100</v>
      </c>
      <c r="D48" s="8"/>
    </row>
    <row r="49" customFormat="false" ht="15" hidden="false" customHeight="true" outlineLevel="0" collapsed="false">
      <c r="A49" s="6" t="s">
        <v>62</v>
      </c>
      <c r="B49" s="11" t="n">
        <f aca="false">C49/12</f>
        <v>125</v>
      </c>
      <c r="C49" s="7" t="n">
        <v>1500</v>
      </c>
      <c r="D49" s="8" t="s">
        <v>63</v>
      </c>
    </row>
    <row r="50" customFormat="false" ht="15" hidden="false" customHeight="true" outlineLevel="0" collapsed="false">
      <c r="A50" s="6" t="s">
        <v>64</v>
      </c>
      <c r="B50" s="11" t="n">
        <f aca="false">C50/12</f>
        <v>66.6666666666667</v>
      </c>
      <c r="C50" s="7" t="n">
        <v>800</v>
      </c>
      <c r="D50" s="8" t="s">
        <v>65</v>
      </c>
    </row>
    <row r="51" customFormat="false" ht="15" hidden="false" customHeight="true" outlineLevel="0" collapsed="false">
      <c r="A51" s="6" t="s">
        <v>66</v>
      </c>
      <c r="B51" s="11" t="n">
        <f aca="false">C51/12</f>
        <v>50</v>
      </c>
      <c r="C51" s="7" t="n">
        <v>600</v>
      </c>
      <c r="D51" s="8" t="s">
        <v>67</v>
      </c>
    </row>
    <row r="52" customFormat="false" ht="15" hidden="false" customHeight="true" outlineLevel="0" collapsed="false">
      <c r="A52" s="6" t="s">
        <v>68</v>
      </c>
      <c r="C52" s="7" t="n">
        <v>300</v>
      </c>
      <c r="D52" s="8" t="s">
        <v>69</v>
      </c>
    </row>
    <row r="53" customFormat="false" ht="15" hidden="false" customHeight="true" outlineLevel="0" collapsed="false">
      <c r="A53" s="6" t="s">
        <v>70</v>
      </c>
      <c r="B53" s="11" t="n">
        <f aca="false">C53/12</f>
        <v>25</v>
      </c>
      <c r="C53" s="7" t="n">
        <v>300</v>
      </c>
      <c r="D53" s="8" t="s">
        <v>71</v>
      </c>
    </row>
    <row r="54" customFormat="false" ht="15" hidden="false" customHeight="true" outlineLevel="0" collapsed="false">
      <c r="A54" s="9" t="s">
        <v>72</v>
      </c>
      <c r="B54" s="14" t="n">
        <f aca="false">SUM(B47:B53)</f>
        <v>408.333333333333</v>
      </c>
      <c r="C54" s="14" t="n">
        <f aca="false">SUM(C47:C53)</f>
        <v>5300</v>
      </c>
      <c r="D54" s="8"/>
    </row>
    <row r="55" customFormat="false" ht="15" hidden="false" customHeight="true" outlineLevel="0" collapsed="false">
      <c r="A55" s="6"/>
      <c r="D55" s="8"/>
    </row>
    <row r="56" customFormat="false" ht="15" hidden="false" customHeight="true" outlineLevel="0" collapsed="false">
      <c r="A56" s="15" t="s">
        <v>73</v>
      </c>
      <c r="B56" s="16" t="n">
        <f aca="false">B22+B28+B36+B44+B54</f>
        <v>6420.5</v>
      </c>
      <c r="C56" s="16" t="n">
        <f aca="false">C22+C28+C36+C44+C54</f>
        <v>82375</v>
      </c>
      <c r="D56" s="8"/>
    </row>
    <row r="74" customFormat="false" ht="17.25" hidden="false" customHeight="true" outlineLevel="0" collapsed="false">
      <c r="A74" s="17" t="s">
        <v>74</v>
      </c>
      <c r="B74" s="18" t="n">
        <f aca="false">B15-B56</f>
        <v>-6420.5</v>
      </c>
      <c r="C74" s="18" t="n">
        <f aca="false">C15-C56</f>
        <v>-82375</v>
      </c>
      <c r="D74" s="8" t="s">
        <v>75</v>
      </c>
    </row>
    <row r="76" customFormat="false" ht="15" hidden="false" customHeight="true" outlineLevel="0" collapsed="false">
      <c r="A76" s="9" t="s">
        <v>76</v>
      </c>
      <c r="C76" s="19" t="n">
        <f aca="false">ROUNDUP(C56/C8,0)</f>
        <v>12</v>
      </c>
      <c r="D76" s="8" t="s">
        <v>77</v>
      </c>
    </row>
  </sheetData>
  <mergeCells count="5">
    <mergeCell ref="A1:E1"/>
    <mergeCell ref="A2:E2"/>
    <mergeCell ref="A3:E3"/>
    <mergeCell ref="A5:E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6"/>
    <col collapsed="false" customWidth="true" hidden="false" outlineLevel="0" max="7" min="7" style="1" width="32"/>
  </cols>
  <sheetData>
    <row r="1" customFormat="false" ht="17.2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79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5"/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7</v>
      </c>
    </row>
    <row r="5" customFormat="false" ht="15" hidden="false" customHeight="true" outlineLevel="0" collapsed="false">
      <c r="A5" s="9" t="s">
        <v>85</v>
      </c>
      <c r="B5" s="20" t="n">
        <v>15</v>
      </c>
      <c r="C5" s="20" t="n">
        <v>25</v>
      </c>
      <c r="D5" s="20" t="n">
        <v>40</v>
      </c>
      <c r="E5" s="20" t="n">
        <v>55</v>
      </c>
      <c r="F5" s="20" t="n">
        <v>75</v>
      </c>
      <c r="G5" s="8" t="s">
        <v>86</v>
      </c>
    </row>
    <row r="6" customFormat="false" ht="15" hidden="false" customHeight="true" outlineLevel="0" collapsed="false">
      <c r="A6" s="6"/>
      <c r="G6" s="8"/>
    </row>
    <row r="7" customFormat="false" ht="15" hidden="false" customHeight="true" outlineLevel="0" collapsed="false">
      <c r="A7" s="9" t="s">
        <v>3</v>
      </c>
      <c r="G7" s="8"/>
    </row>
    <row r="8" customFormat="false" ht="15" hidden="false" customHeight="true" outlineLevel="0" collapsed="false">
      <c r="A8" s="6" t="s">
        <v>87</v>
      </c>
      <c r="B8" s="7" t="n">
        <v>112020</v>
      </c>
      <c r="C8" s="7" t="n">
        <v>186700</v>
      </c>
      <c r="D8" s="7" t="n">
        <v>298720</v>
      </c>
      <c r="E8" s="7" t="n">
        <v>410740</v>
      </c>
      <c r="F8" s="7" t="n">
        <v>560100</v>
      </c>
      <c r="G8" s="8" t="s">
        <v>88</v>
      </c>
    </row>
    <row r="9" customFormat="false" ht="15" hidden="false" customHeight="true" outlineLevel="0" collapsed="false">
      <c r="A9" s="6" t="s">
        <v>89</v>
      </c>
      <c r="B9" s="7" t="n">
        <v>4500</v>
      </c>
      <c r="C9" s="7" t="n">
        <v>10000</v>
      </c>
      <c r="D9" s="7" t="n">
        <v>20000</v>
      </c>
      <c r="E9" s="7" t="n">
        <v>33000</v>
      </c>
      <c r="F9" s="7" t="n">
        <v>52500</v>
      </c>
      <c r="G9" s="8" t="s">
        <v>90</v>
      </c>
    </row>
    <row r="10" customFormat="false" ht="15" hidden="false" customHeight="true" outlineLevel="0" collapsed="false">
      <c r="A10" s="6" t="s">
        <v>91</v>
      </c>
      <c r="B10" s="7" t="n">
        <v>0</v>
      </c>
      <c r="C10" s="7" t="n">
        <v>10000</v>
      </c>
      <c r="D10" s="7" t="n">
        <v>25000</v>
      </c>
      <c r="E10" s="7" t="n">
        <v>40000</v>
      </c>
      <c r="F10" s="7" t="n">
        <v>60000</v>
      </c>
      <c r="G10" s="8" t="s">
        <v>92</v>
      </c>
    </row>
    <row r="11" customFormat="false" ht="15" hidden="false" customHeight="true" outlineLevel="0" collapsed="false">
      <c r="A11" s="9" t="s">
        <v>93</v>
      </c>
      <c r="B11" s="12" t="n">
        <v>116520</v>
      </c>
      <c r="C11" s="12" t="n">
        <v>206700</v>
      </c>
      <c r="D11" s="12" t="n">
        <v>343720</v>
      </c>
      <c r="E11" s="12" t="n">
        <v>483740</v>
      </c>
      <c r="F11" s="12" t="n">
        <v>672600</v>
      </c>
      <c r="G11" s="8"/>
    </row>
    <row r="12" customFormat="false" ht="15" hidden="false" customHeight="true" outlineLevel="0" collapsed="false">
      <c r="A12" s="6"/>
      <c r="G12" s="8"/>
    </row>
    <row r="13" customFormat="false" ht="15" hidden="false" customHeight="true" outlineLevel="0" collapsed="false">
      <c r="A13" s="9" t="s">
        <v>94</v>
      </c>
      <c r="G13" s="8"/>
    </row>
    <row r="14" customFormat="false" ht="15" hidden="false" customHeight="true" outlineLevel="0" collapsed="false">
      <c r="A14" s="6" t="s">
        <v>95</v>
      </c>
      <c r="B14" s="7" t="n">
        <v>40000</v>
      </c>
      <c r="C14" s="7" t="n">
        <v>50000</v>
      </c>
      <c r="D14" s="7" t="n">
        <v>60000</v>
      </c>
      <c r="E14" s="7" t="n">
        <v>65000</v>
      </c>
      <c r="F14" s="7" t="n">
        <v>70000</v>
      </c>
      <c r="G14" s="8" t="s">
        <v>96</v>
      </c>
    </row>
    <row r="15" customFormat="false" ht="15" hidden="false" customHeight="true" outlineLevel="0" collapsed="false">
      <c r="A15" s="6" t="s">
        <v>97</v>
      </c>
      <c r="B15" s="7" t="n">
        <v>0</v>
      </c>
      <c r="C15" s="7" t="n">
        <v>40000</v>
      </c>
      <c r="D15" s="7" t="n">
        <v>40000</v>
      </c>
      <c r="E15" s="7" t="n">
        <v>43000</v>
      </c>
      <c r="F15" s="7" t="n">
        <v>46000</v>
      </c>
      <c r="G15" s="8" t="s">
        <v>98</v>
      </c>
    </row>
    <row r="16" customFormat="false" ht="15" hidden="false" customHeight="true" outlineLevel="0" collapsed="false">
      <c r="A16" s="6" t="s">
        <v>99</v>
      </c>
      <c r="B16" s="7" t="n">
        <v>0</v>
      </c>
      <c r="C16" s="7" t="n">
        <v>0</v>
      </c>
      <c r="D16" s="7" t="n">
        <v>40000</v>
      </c>
      <c r="E16" s="7" t="n">
        <v>43000</v>
      </c>
      <c r="F16" s="7" t="n">
        <v>46000</v>
      </c>
      <c r="G16" s="8" t="s">
        <v>100</v>
      </c>
    </row>
    <row r="17" customFormat="false" ht="15" hidden="false" customHeight="true" outlineLevel="0" collapsed="false">
      <c r="A17" s="6" t="s">
        <v>101</v>
      </c>
      <c r="B17" s="7" t="n">
        <v>0</v>
      </c>
      <c r="C17" s="7" t="n">
        <v>0</v>
      </c>
      <c r="D17" s="7" t="n">
        <v>0</v>
      </c>
      <c r="E17" s="7" t="n">
        <v>35000</v>
      </c>
      <c r="F17" s="7" t="n">
        <v>38000</v>
      </c>
      <c r="G17" s="8" t="s">
        <v>102</v>
      </c>
    </row>
    <row r="18" customFormat="false" ht="15" hidden="false" customHeight="true" outlineLevel="0" collapsed="false">
      <c r="A18" s="6" t="s">
        <v>103</v>
      </c>
      <c r="B18" s="7" t="n">
        <v>0</v>
      </c>
      <c r="C18" s="7" t="n">
        <v>2000</v>
      </c>
      <c r="D18" s="7" t="n">
        <v>5000</v>
      </c>
      <c r="E18" s="7" t="n">
        <v>8000</v>
      </c>
      <c r="F18" s="7" t="n">
        <v>12000</v>
      </c>
      <c r="G18" s="8"/>
    </row>
    <row r="19" customFormat="false" ht="15" hidden="false" customHeight="true" outlineLevel="0" collapsed="false">
      <c r="A19" s="6" t="s">
        <v>104</v>
      </c>
      <c r="B19" s="7" t="n">
        <v>6000</v>
      </c>
      <c r="C19" s="7" t="n">
        <v>13800</v>
      </c>
      <c r="D19" s="7" t="n">
        <v>21750</v>
      </c>
      <c r="E19" s="7" t="n">
        <v>29100</v>
      </c>
      <c r="F19" s="7" t="n">
        <v>31800</v>
      </c>
      <c r="G19" s="8"/>
    </row>
    <row r="20" customFormat="false" ht="15" hidden="false" customHeight="true" outlineLevel="0" collapsed="false">
      <c r="A20" s="9" t="s">
        <v>27</v>
      </c>
      <c r="B20" s="7" t="n">
        <v>46000</v>
      </c>
      <c r="C20" s="7" t="n">
        <v>105800</v>
      </c>
      <c r="D20" s="7" t="n">
        <v>166750</v>
      </c>
      <c r="E20" s="7" t="n">
        <v>223100</v>
      </c>
      <c r="F20" s="7" t="n">
        <v>243800</v>
      </c>
      <c r="G20" s="8"/>
    </row>
    <row r="21" customFormat="false" ht="15" hidden="false" customHeight="true" outlineLevel="0" collapsed="false">
      <c r="A21" s="6"/>
      <c r="G21" s="8"/>
    </row>
    <row r="22" customFormat="false" ht="15" hidden="false" customHeight="true" outlineLevel="0" collapsed="false">
      <c r="A22" s="6" t="s">
        <v>105</v>
      </c>
      <c r="B22" s="7" t="n">
        <v>18000</v>
      </c>
      <c r="C22" s="7" t="n">
        <v>36000</v>
      </c>
      <c r="D22" s="7" t="n">
        <v>102000</v>
      </c>
      <c r="E22" s="7" t="n">
        <v>102000</v>
      </c>
      <c r="F22" s="7" t="n">
        <v>102000</v>
      </c>
      <c r="G22" s="8" t="s">
        <v>106</v>
      </c>
    </row>
    <row r="23" customFormat="false" ht="15" hidden="false" customHeight="true" outlineLevel="0" collapsed="false">
      <c r="A23" s="6" t="s">
        <v>107</v>
      </c>
      <c r="B23" s="7" t="n">
        <v>2700</v>
      </c>
      <c r="C23" s="7" t="n">
        <v>4800</v>
      </c>
      <c r="D23" s="7" t="n">
        <v>7200</v>
      </c>
      <c r="E23" s="7" t="n">
        <v>7200</v>
      </c>
      <c r="F23" s="7" t="n">
        <v>7200</v>
      </c>
      <c r="G23" s="8"/>
    </row>
    <row r="24" customFormat="false" ht="15" hidden="false" customHeight="true" outlineLevel="0" collapsed="false">
      <c r="A24" s="9" t="s">
        <v>34</v>
      </c>
      <c r="B24" s="7" t="n">
        <v>20700</v>
      </c>
      <c r="C24" s="7" t="n">
        <v>40800</v>
      </c>
      <c r="D24" s="7" t="n">
        <v>109200</v>
      </c>
      <c r="E24" s="7" t="n">
        <v>109200</v>
      </c>
      <c r="F24" s="7" t="n">
        <v>109200</v>
      </c>
      <c r="G24" s="8"/>
    </row>
    <row r="25" customFormat="false" ht="15" hidden="false" customHeight="true" outlineLevel="0" collapsed="false">
      <c r="A25" s="6"/>
      <c r="G25" s="8"/>
    </row>
    <row r="26" customFormat="false" ht="15" hidden="false" customHeight="true" outlineLevel="0" collapsed="false">
      <c r="A26" s="6" t="s">
        <v>108</v>
      </c>
      <c r="B26" s="7" t="n">
        <v>7650</v>
      </c>
      <c r="C26" s="7" t="n">
        <v>10500</v>
      </c>
      <c r="D26" s="7" t="n">
        <v>18100</v>
      </c>
      <c r="E26" s="7" t="n">
        <v>22500</v>
      </c>
      <c r="F26" s="7" t="n">
        <v>27000</v>
      </c>
      <c r="G26" s="8" t="s">
        <v>109</v>
      </c>
    </row>
    <row r="27" customFormat="false" ht="15" hidden="false" customHeight="true" outlineLevel="0" collapsed="false">
      <c r="A27" s="6" t="s">
        <v>110</v>
      </c>
      <c r="B27" s="7" t="n">
        <v>4100</v>
      </c>
      <c r="C27" s="7" t="n">
        <v>8000</v>
      </c>
      <c r="D27" s="7" t="n">
        <v>18700</v>
      </c>
      <c r="E27" s="7" t="n">
        <v>25000</v>
      </c>
      <c r="F27" s="7" t="n">
        <v>35000</v>
      </c>
      <c r="G27" s="8" t="s">
        <v>111</v>
      </c>
    </row>
    <row r="28" customFormat="false" ht="15" hidden="false" customHeight="true" outlineLevel="0" collapsed="false">
      <c r="A28" s="6" t="s">
        <v>112</v>
      </c>
      <c r="B28" s="7" t="n">
        <v>5300</v>
      </c>
      <c r="C28" s="7" t="n">
        <v>7500</v>
      </c>
      <c r="D28" s="7" t="n">
        <v>11600</v>
      </c>
      <c r="E28" s="7" t="n">
        <v>14000</v>
      </c>
      <c r="F28" s="7" t="n">
        <v>17000</v>
      </c>
      <c r="G28" s="8"/>
    </row>
    <row r="29" customFormat="false" ht="15" hidden="false" customHeight="true" outlineLevel="0" collapsed="false">
      <c r="A29" s="9" t="s">
        <v>113</v>
      </c>
      <c r="B29" s="7" t="n">
        <v>17050</v>
      </c>
      <c r="C29" s="7" t="n">
        <v>26000</v>
      </c>
      <c r="D29" s="7" t="n">
        <v>48400</v>
      </c>
      <c r="E29" s="7" t="n">
        <v>61500</v>
      </c>
      <c r="F29" s="7" t="n">
        <v>79000</v>
      </c>
      <c r="G29" s="8"/>
    </row>
    <row r="30" customFormat="false" ht="15" hidden="false" customHeight="true" outlineLevel="0" collapsed="false">
      <c r="A30" s="6"/>
      <c r="G30" s="8"/>
    </row>
    <row r="31" customFormat="false" ht="15" hidden="false" customHeight="true" outlineLevel="0" collapsed="false">
      <c r="A31" s="9" t="s">
        <v>73</v>
      </c>
      <c r="B31" s="21" t="n">
        <v>83750</v>
      </c>
      <c r="C31" s="21" t="n">
        <v>172600</v>
      </c>
      <c r="D31" s="21" t="n">
        <v>324350</v>
      </c>
      <c r="E31" s="21" t="n">
        <v>393800</v>
      </c>
      <c r="F31" s="21" t="n">
        <v>432000</v>
      </c>
      <c r="G31" s="8"/>
    </row>
    <row r="32" customFormat="false" ht="15" hidden="false" customHeight="true" outlineLevel="0" collapsed="false">
      <c r="A32" s="6"/>
      <c r="G32" s="8"/>
    </row>
    <row r="33" customFormat="false" ht="15" hidden="false" customHeight="true" outlineLevel="0" collapsed="false">
      <c r="A33" s="9" t="s">
        <v>114</v>
      </c>
      <c r="B33" s="12" t="n">
        <v>32770</v>
      </c>
      <c r="C33" s="12" t="n">
        <v>34100</v>
      </c>
      <c r="D33" s="12" t="n">
        <v>19370</v>
      </c>
      <c r="E33" s="12" t="n">
        <v>89940</v>
      </c>
      <c r="F33" s="12" t="n">
        <v>240600</v>
      </c>
      <c r="G33" s="8"/>
    </row>
    <row r="34" customFormat="false" ht="15" hidden="false" customHeight="true" outlineLevel="0" collapsed="false">
      <c r="A34" s="9" t="s">
        <v>115</v>
      </c>
      <c r="B34" s="22" t="n">
        <v>32770</v>
      </c>
      <c r="C34" s="22" t="n">
        <v>66870</v>
      </c>
      <c r="D34" s="22" t="n">
        <v>86240</v>
      </c>
      <c r="E34" s="22" t="n">
        <v>176180</v>
      </c>
      <c r="F34" s="22" t="n">
        <v>416780</v>
      </c>
      <c r="G34" s="8"/>
    </row>
    <row r="35" customFormat="false" ht="15" hidden="false" customHeight="true" outlineLevel="0" collapsed="false">
      <c r="A35" s="6"/>
      <c r="G35" s="8"/>
    </row>
    <row r="36" customFormat="false" ht="15" hidden="false" customHeight="true" outlineLevel="0" collapsed="false">
      <c r="A36" s="9" t="s">
        <v>116</v>
      </c>
      <c r="G36" s="8"/>
    </row>
    <row r="37" customFormat="false" ht="15" hidden="false" customHeight="true" outlineLevel="0" collapsed="false">
      <c r="A37" s="6" t="s">
        <v>117</v>
      </c>
      <c r="B37" s="6" t="s">
        <v>118</v>
      </c>
      <c r="C37" s="6" t="s">
        <v>119</v>
      </c>
      <c r="D37" s="6" t="s">
        <v>120</v>
      </c>
      <c r="E37" s="6" t="s">
        <v>121</v>
      </c>
      <c r="F37" s="6" t="s">
        <v>122</v>
      </c>
      <c r="G37" s="8"/>
    </row>
    <row r="38" customFormat="false" ht="15" hidden="false" customHeight="true" outlineLevel="0" collapsed="false">
      <c r="A38" s="6" t="s">
        <v>123</v>
      </c>
      <c r="B38" s="6" t="s">
        <v>124</v>
      </c>
      <c r="C38" s="6" t="s">
        <v>125</v>
      </c>
      <c r="D38" s="6" t="s">
        <v>126</v>
      </c>
      <c r="E38" s="6" t="s">
        <v>127</v>
      </c>
      <c r="F38" s="6" t="s">
        <v>128</v>
      </c>
      <c r="G38" s="8"/>
    </row>
    <row r="39" customFormat="false" ht="15" hidden="false" customHeight="true" outlineLevel="0" collapsed="false">
      <c r="A39" s="6" t="s">
        <v>129</v>
      </c>
      <c r="B39" s="6" t="s">
        <v>130</v>
      </c>
      <c r="C39" s="6" t="s">
        <v>131</v>
      </c>
      <c r="D39" s="6" t="s">
        <v>132</v>
      </c>
      <c r="E39" s="6" t="s">
        <v>133</v>
      </c>
      <c r="F39" s="6" t="s">
        <v>134</v>
      </c>
      <c r="G39" s="8"/>
    </row>
    <row r="40" customFormat="false" ht="15" hidden="false" customHeight="true" outlineLevel="0" collapsed="false">
      <c r="A40" s="6" t="s">
        <v>135</v>
      </c>
      <c r="B40" s="6" t="s">
        <v>136</v>
      </c>
      <c r="C40" s="6" t="s">
        <v>136</v>
      </c>
      <c r="D40" s="6" t="s">
        <v>136</v>
      </c>
      <c r="E40" s="6" t="s">
        <v>137</v>
      </c>
      <c r="F40" s="6" t="s">
        <v>138</v>
      </c>
      <c r="G40" s="8" t="s">
        <v>139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2026-03-22T09:03:26Z</dcterms:created>
  <dc:creator>openpyxl</dc:creator>
  <dc:description/>
  <dc:language>en-US</dc:language>
  <cp:lastModifiedBy/>
  <dcterms:modified xsi:type="dcterms:W3CDTF">2026-03-22T09:03:59Z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